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R8" i="1" l="1"/>
  <c r="R7" i="1" l="1"/>
  <c r="R6" i="1" l="1"/>
  <c r="F13" i="3" l="1"/>
  <c r="F12" i="3"/>
</calcChain>
</file>

<file path=xl/sharedStrings.xml><?xml version="1.0" encoding="utf-8"?>
<sst xmlns="http://schemas.openxmlformats.org/spreadsheetml/2006/main" count="45" uniqueCount="31">
  <si>
    <t>Tên mặt hàng</t>
  </si>
  <si>
    <t>Tiền hàng</t>
  </si>
  <si>
    <t>Thuế</t>
  </si>
  <si>
    <t>Diễn giải *</t>
  </si>
  <si>
    <t>VT01</t>
  </si>
  <si>
    <t>Chiếc</t>
  </si>
  <si>
    <t>Đvt *</t>
  </si>
  <si>
    <t>Số lượng *</t>
  </si>
  <si>
    <t>VND</t>
  </si>
  <si>
    <t>Tên khách hàng</t>
  </si>
  <si>
    <t>Mã khách hàng *</t>
  </si>
  <si>
    <t>Ngày đơn hàng *</t>
  </si>
  <si>
    <t>Số đơn hàng *</t>
  </si>
  <si>
    <t>Ngày giao</t>
  </si>
  <si>
    <t>Giá bán</t>
  </si>
  <si>
    <t>Chiết khấu</t>
  </si>
  <si>
    <t>Thuế suất</t>
  </si>
  <si>
    <t>KH01</t>
  </si>
  <si>
    <t>DHB001</t>
  </si>
  <si>
    <t>Đơn hàng 001</t>
  </si>
  <si>
    <t>CTY</t>
  </si>
  <si>
    <t>Đơn vị *</t>
  </si>
  <si>
    <t>Địa điểm giao</t>
  </si>
  <si>
    <t>Tên NV bán hàng</t>
  </si>
  <si>
    <t>Mã NV bán hàng</t>
  </si>
  <si>
    <t>Mã hàng *</t>
  </si>
  <si>
    <t>Mã kho</t>
  </si>
  <si>
    <t>Mã nt *</t>
  </si>
  <si>
    <t>Tỷ giá *</t>
  </si>
  <si>
    <t>Phòng ban</t>
  </si>
  <si>
    <t>Hợp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</si>
</sst>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/>
    <xf numFmtId="49" fontId="0" fillId="0" borderId="0" xfId="0" applyNumberFormat="1"/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8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0.21875" style="5" customWidth="1"/>
    <col min="2" max="2" width="16.6640625" style="1" customWidth="1"/>
    <col min="3" max="3" width="16.77734375" style="1" customWidth="1"/>
    <col min="4" max="4" width="27.5546875" style="1" customWidth="1"/>
    <col min="5" max="6" width="12.77734375" style="6" customWidth="1"/>
    <col min="7" max="7" width="16.5546875" style="6" customWidth="1"/>
    <col min="8" max="8" width="14.21875" style="1" customWidth="1"/>
    <col min="9" max="9" width="15.21875" style="3" customWidth="1"/>
    <col min="10" max="10" width="11.44140625" style="6" customWidth="1"/>
    <col min="11" max="11" width="11.44140625" style="5" customWidth="1"/>
    <col min="12" max="12" width="16.6640625" style="1" customWidth="1"/>
    <col min="13" max="13" width="18.44140625" style="1" customWidth="1"/>
    <col min="14" max="14" width="10.6640625" style="1" customWidth="1"/>
    <col min="15" max="15" width="10.6640625" style="6" customWidth="1"/>
    <col min="16" max="16" width="16.6640625" style="2" customWidth="1"/>
    <col min="17" max="18" width="16.6640625" customWidth="1"/>
    <col min="19" max="21" width="11.44140625" style="5" customWidth="1"/>
    <col min="22" max="22" width="16.6640625" style="3" customWidth="1"/>
    <col min="23" max="23" width="14.77734375" customWidth="1"/>
    <col min="24" max="24" width="11.33203125" customWidth="1"/>
  </cols>
  <sheetData>
    <row r="2" spans="1:24" s="9" customFormat="1" ht="34.5" customHeight="1" x14ac:dyDescent="0.3">
      <c r="B2" s="8"/>
      <c r="C2" s="10"/>
      <c r="D2" s="8"/>
      <c r="E2" s="8"/>
      <c r="F2" s="8"/>
      <c r="G2" s="8"/>
      <c r="H2" s="8"/>
      <c r="I2" s="4"/>
      <c r="J2" s="8"/>
      <c r="L2" s="8"/>
      <c r="M2" s="10"/>
      <c r="N2" s="8"/>
      <c r="O2" s="8"/>
      <c r="P2" s="7"/>
      <c r="V2" s="4"/>
    </row>
    <row r="5" spans="1:24" s="11" customFormat="1" ht="34.5" customHeight="1" x14ac:dyDescent="0.3">
      <c r="A5" s="11" t="s">
        <v>21</v>
      </c>
      <c r="B5" s="12" t="s">
        <v>10</v>
      </c>
      <c r="C5" s="13" t="s">
        <v>9</v>
      </c>
      <c r="D5" s="12" t="s">
        <v>3</v>
      </c>
      <c r="E5" s="12" t="s">
        <v>22</v>
      </c>
      <c r="F5" s="12" t="s">
        <v>24</v>
      </c>
      <c r="G5" s="13" t="s">
        <v>23</v>
      </c>
      <c r="H5" s="12" t="s">
        <v>12</v>
      </c>
      <c r="I5" s="14" t="s">
        <v>11</v>
      </c>
      <c r="J5" s="12" t="s">
        <v>27</v>
      </c>
      <c r="K5" s="11" t="s">
        <v>28</v>
      </c>
      <c r="L5" s="12" t="s">
        <v>25</v>
      </c>
      <c r="M5" s="13" t="s">
        <v>0</v>
      </c>
      <c r="N5" s="12" t="s">
        <v>6</v>
      </c>
      <c r="O5" s="12" t="s">
        <v>26</v>
      </c>
      <c r="P5" s="15" t="s">
        <v>7</v>
      </c>
      <c r="Q5" s="11" t="s">
        <v>14</v>
      </c>
      <c r="R5" s="11" t="s">
        <v>1</v>
      </c>
      <c r="S5" s="11" t="s">
        <v>15</v>
      </c>
      <c r="T5" s="11" t="s">
        <v>16</v>
      </c>
      <c r="U5" s="11" t="s">
        <v>2</v>
      </c>
      <c r="V5" s="14" t="s">
        <v>13</v>
      </c>
      <c r="W5" s="11" t="s">
        <v>29</v>
      </c>
      <c r="X5" s="11" t="s">
        <v>30</v>
      </c>
    </row>
    <row r="6" spans="1:24" ht="12" customHeight="1" x14ac:dyDescent="0.3">
      <c r="A6" s="5" t="s">
        <v>20</v>
      </c>
      <c r="B6" s="1" t="s">
        <v>17</v>
      </c>
      <c r="D6" s="1" t="s">
        <v>19</v>
      </c>
      <c r="H6" s="1" t="s">
        <v>18</v>
      </c>
      <c r="I6" s="3">
        <v>44927</v>
      </c>
      <c r="J6" s="6" t="s">
        <v>8</v>
      </c>
      <c r="K6" s="5">
        <v>1</v>
      </c>
      <c r="L6" s="1" t="s">
        <v>4</v>
      </c>
      <c r="N6" s="1" t="s">
        <v>5</v>
      </c>
      <c r="P6" s="2">
        <v>100</v>
      </c>
      <c r="Q6">
        <v>80000</v>
      </c>
      <c r="R6">
        <f>P6*Q6</f>
        <v>8000000</v>
      </c>
      <c r="V6" s="3">
        <v>44957</v>
      </c>
    </row>
    <row r="7" spans="1:24" s="5" customFormat="1" ht="12" customHeight="1" x14ac:dyDescent="0.3">
      <c r="A7" s="5" t="s">
        <v>20</v>
      </c>
      <c r="B7" s="6" t="s">
        <v>17</v>
      </c>
      <c r="C7" s="6"/>
      <c r="D7" s="6" t="s">
        <v>19</v>
      </c>
      <c r="E7" s="6"/>
      <c r="F7" s="6"/>
      <c r="G7" s="6"/>
      <c r="H7" s="6" t="s">
        <v>18</v>
      </c>
      <c r="I7" s="3">
        <v>44927</v>
      </c>
      <c r="J7" s="6" t="s">
        <v>8</v>
      </c>
      <c r="K7" s="5">
        <v>1</v>
      </c>
      <c r="L7" s="6" t="s">
        <v>4</v>
      </c>
      <c r="M7" s="6"/>
      <c r="N7" s="6" t="s">
        <v>5</v>
      </c>
      <c r="O7" s="6"/>
      <c r="P7" s="2">
        <v>200</v>
      </c>
      <c r="Q7" s="5">
        <v>80000</v>
      </c>
      <c r="R7" s="5">
        <f>P7*Q7</f>
        <v>16000000</v>
      </c>
      <c r="V7" s="3">
        <v>44957</v>
      </c>
    </row>
    <row r="8" spans="1:24" s="5" customFormat="1" ht="12" customHeight="1" x14ac:dyDescent="0.3">
      <c r="A8" s="5" t="s">
        <v>20</v>
      </c>
      <c r="B8" s="6" t="s">
        <v>17</v>
      </c>
      <c r="C8" s="6"/>
      <c r="D8" s="6" t="s">
        <v>19</v>
      </c>
      <c r="E8" s="6"/>
      <c r="F8" s="6"/>
      <c r="G8" s="6"/>
      <c r="H8" s="6" t="s">
        <v>18</v>
      </c>
      <c r="I8" s="3">
        <v>44927</v>
      </c>
      <c r="J8" s="6" t="s">
        <v>8</v>
      </c>
      <c r="K8" s="5">
        <v>1</v>
      </c>
      <c r="L8" s="6" t="s">
        <v>4</v>
      </c>
      <c r="M8" s="6"/>
      <c r="N8" s="6" t="s">
        <v>5</v>
      </c>
      <c r="O8" s="6"/>
      <c r="P8" s="2">
        <v>1</v>
      </c>
      <c r="Q8" s="5">
        <v>80000</v>
      </c>
      <c r="R8" s="5">
        <f>P8*Q8</f>
        <v>80000</v>
      </c>
      <c r="V8" s="3">
        <v>44957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2:F13"/>
  <sheetViews>
    <sheetView workbookViewId="0">
      <selection activeCell="F12" sqref="F12:F13"/>
    </sheetView>
  </sheetViews>
  <sheetFormatPr defaultRowHeight="14.4" x14ac:dyDescent="0.3"/>
  <sheetData>
    <row r="12" spans="6:6" x14ac:dyDescent="0.3">
      <c r="F12">
        <f>311538</f>
        <v>311538</v>
      </c>
    </row>
    <row r="13" spans="6:6" x14ac:dyDescent="0.3">
      <c r="F13">
        <f>588462</f>
        <v>588462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2023-10-01T14:08:31Z</dcterms:modified>
</cp:coreProperties>
</file>